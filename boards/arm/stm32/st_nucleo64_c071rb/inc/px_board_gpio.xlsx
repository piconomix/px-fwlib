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1B56A67-F8A7-4CB2-921C-A665FACC62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PIO" sheetId="7" r:id="rId1"/>
    <sheet name="Options" sheetId="8" r:id="rId2"/>
  </sheets>
  <externalReferences>
    <externalReference r:id="rId3"/>
  </externalReferences>
  <definedNames>
    <definedName name="_xlnm._FilterDatabase" localSheetId="0" hidden="1">GPIO!$A$1:$O$12</definedName>
    <definedName name="AltFn">Options!$K$2:$K$10</definedName>
    <definedName name="Mode">Options!$A$2:$A$5</definedName>
    <definedName name="OutputInit">Options!$I$2:$I$4</definedName>
    <definedName name="OutputSpeed">Options!$E$2:$E$6</definedName>
    <definedName name="OutputType">Options!$C$2:$C$4</definedName>
    <definedName name="Pull">Options!$G$2:$G$4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7" l="1"/>
  <c r="S10" i="7"/>
  <c r="Q10" i="7"/>
  <c r="O10" i="7"/>
  <c r="M10" i="7"/>
  <c r="K10" i="7"/>
  <c r="I10" i="7"/>
  <c r="G10" i="7"/>
  <c r="E10" i="7"/>
  <c r="U6" i="7"/>
  <c r="S6" i="7"/>
  <c r="Q6" i="7"/>
  <c r="O6" i="7"/>
  <c r="M6" i="7"/>
  <c r="K6" i="7"/>
  <c r="I6" i="7"/>
  <c r="G6" i="7"/>
  <c r="E6" i="7"/>
  <c r="U5" i="7"/>
  <c r="S5" i="7"/>
  <c r="Q5" i="7"/>
  <c r="O5" i="7"/>
  <c r="M5" i="7"/>
  <c r="K5" i="7"/>
  <c r="I5" i="7"/>
  <c r="G5" i="7"/>
  <c r="E5" i="7"/>
  <c r="U14" i="7"/>
  <c r="S14" i="7"/>
  <c r="Q14" i="7"/>
  <c r="O14" i="7"/>
  <c r="M14" i="7"/>
  <c r="K14" i="7"/>
  <c r="I14" i="7"/>
  <c r="G14" i="7"/>
  <c r="E14" i="7"/>
  <c r="U13" i="7"/>
  <c r="S13" i="7"/>
  <c r="Q13" i="7"/>
  <c r="O13" i="7"/>
  <c r="M13" i="7"/>
  <c r="K13" i="7"/>
  <c r="I13" i="7"/>
  <c r="G13" i="7"/>
  <c r="E13" i="7"/>
  <c r="S11" i="7" l="1"/>
  <c r="S12" i="7"/>
  <c r="S2" i="7"/>
  <c r="S3" i="7"/>
  <c r="S4" i="7"/>
  <c r="S7" i="7"/>
  <c r="S8" i="7"/>
  <c r="U2" i="7" l="1"/>
  <c r="U3" i="7"/>
  <c r="U4" i="7"/>
  <c r="U7" i="7"/>
  <c r="U8" i="7"/>
  <c r="U11" i="7"/>
  <c r="U12" i="7"/>
  <c r="Q2" i="7"/>
  <c r="Q3" i="7"/>
  <c r="Q4" i="7"/>
  <c r="Q7" i="7"/>
  <c r="Q8" i="7"/>
  <c r="Q11" i="7"/>
  <c r="Q12" i="7"/>
  <c r="O2" i="7"/>
  <c r="O3" i="7"/>
  <c r="O4" i="7"/>
  <c r="O7" i="7"/>
  <c r="O8" i="7"/>
  <c r="O11" i="7"/>
  <c r="O12" i="7"/>
  <c r="M2" i="7"/>
  <c r="M3" i="7"/>
  <c r="M4" i="7"/>
  <c r="M7" i="7"/>
  <c r="M8" i="7"/>
  <c r="M11" i="7"/>
  <c r="M12" i="7"/>
  <c r="K2" i="7"/>
  <c r="K3" i="7"/>
  <c r="K4" i="7"/>
  <c r="K7" i="7"/>
  <c r="K8" i="7"/>
  <c r="K11" i="7"/>
  <c r="K12" i="7"/>
  <c r="I2" i="7"/>
  <c r="I3" i="7"/>
  <c r="I4" i="7"/>
  <c r="I7" i="7"/>
  <c r="I8" i="7"/>
  <c r="I11" i="7"/>
  <c r="I12" i="7"/>
  <c r="G2" i="7"/>
  <c r="G3" i="7"/>
  <c r="G4" i="7"/>
  <c r="G7" i="7"/>
  <c r="G8" i="7"/>
  <c r="G11" i="7"/>
  <c r="G12" i="7"/>
  <c r="E2" i="7"/>
  <c r="E3" i="7"/>
  <c r="E4" i="7"/>
  <c r="E7" i="7"/>
  <c r="E8" i="7"/>
  <c r="E11" i="7"/>
  <c r="E12" i="7"/>
</calcChain>
</file>

<file path=xl/sharedStrings.xml><?xml version="1.0" encoding="utf-8"?>
<sst xmlns="http://schemas.openxmlformats.org/spreadsheetml/2006/main" count="141" uniqueCount="54">
  <si>
    <t>Mode</t>
  </si>
  <si>
    <t>PX_GPIO_MODE_IN</t>
  </si>
  <si>
    <t>PX_GPIO_MODE_OUT</t>
  </si>
  <si>
    <t>OutputType</t>
  </si>
  <si>
    <t>OutputSpeed</t>
  </si>
  <si>
    <t>Pull</t>
  </si>
  <si>
    <t>PX_GPIO_PULL_UP</t>
  </si>
  <si>
    <t>OutputInit</t>
  </si>
  <si>
    <t>AltFn</t>
  </si>
  <si>
    <t>Name</t>
  </si>
  <si>
    <t>Port</t>
  </si>
  <si>
    <t>Pin</t>
  </si>
  <si>
    <t>A</t>
  </si>
  <si>
    <t>PX_GPIO_MODE_AF</t>
  </si>
  <si>
    <t>PX_GPIO_MODE_ANA</t>
  </si>
  <si>
    <t>PX_GPIO_OTYPE_NA</t>
  </si>
  <si>
    <t>PX_GPIO_OTYPE_PP</t>
  </si>
  <si>
    <t>PX_GPIO_OTYPE_OD</t>
  </si>
  <si>
    <t>PX_GPIO_OSPEED_NA</t>
  </si>
  <si>
    <t>PX_GPIO_OSPEED_LO</t>
  </si>
  <si>
    <t>PX_GPIO_OSPEED_HI</t>
  </si>
  <si>
    <t>PX_GPIO_OSPEED_VH</t>
  </si>
  <si>
    <t>PX_GPIO_OSPEED_MD</t>
  </si>
  <si>
    <t>PX_GPIO_PULL_NO</t>
  </si>
  <si>
    <t>PX_GPIO_PULL_DN</t>
  </si>
  <si>
    <t>PX_GPIO_OUT_INIT_NA</t>
  </si>
  <si>
    <t>PX_GPIO_OUT_INIT_LO</t>
  </si>
  <si>
    <t>PX_GPIO_OUT_INIT_HI</t>
  </si>
  <si>
    <t>PX_GPIO_AF_NA</t>
  </si>
  <si>
    <t>PX_GPIO_AF_0</t>
  </si>
  <si>
    <t>PX_GPIO_AF_1</t>
  </si>
  <si>
    <t>PX_GPIO_AF_2</t>
  </si>
  <si>
    <t>PX_GPIO_AF_3</t>
  </si>
  <si>
    <t>PX_GPIO_AF_4</t>
  </si>
  <si>
    <t>PX_GPIO_AF_5</t>
  </si>
  <si>
    <t>PX_GPIO_AF_6</t>
  </si>
  <si>
    <t>PX_GPIO_AF_7</t>
  </si>
  <si>
    <t>PX_GPIO_SWDIO</t>
  </si>
  <si>
    <t>PX_GPIO_SWDCK</t>
  </si>
  <si>
    <t>C</t>
  </si>
  <si>
    <t>Definitions</t>
  </si>
  <si>
    <t>Global variables</t>
  </si>
  <si>
    <t>Map</t>
  </si>
  <si>
    <t>PX_GPIO_LED_GRN</t>
  </si>
  <si>
    <t>PX_GPIO_BTN_BLUE</t>
  </si>
  <si>
    <t>PX_GPIO_OSC32_IN</t>
  </si>
  <si>
    <t>PX_GPIO_OSC32_OUT</t>
  </si>
  <si>
    <t>PX_GPIO_USBD_N</t>
  </si>
  <si>
    <t>PX_GPIO_AF_10</t>
  </si>
  <si>
    <t>PX_GPIO_USBD_P</t>
  </si>
  <si>
    <t>PX_GPIO_USB_SENSE</t>
  </si>
  <si>
    <t>PX_GPIO_DBG_UART2_TX</t>
  </si>
  <si>
    <t>PX_GPIO_DBG_UART2_RX</t>
  </si>
  <si>
    <t>PX_GPIO_LED_BLUE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</si>
</sst>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8"/>
      <color rgb="FF10101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A82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3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" fontId="3" fillId="0" borderId="5" xfId="0" applyNumberFormat="1" applyFont="1" applyBorder="1" applyAlignment="1">
      <alignment horizontal="left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ill>
        <patternFill>
          <bgColor rgb="FF0000FF"/>
        </patternFill>
      </fill>
    </dxf>
    <dxf>
      <fill>
        <patternFill>
          <bgColor rgb="FFFF00FF"/>
        </patternFill>
      </fill>
    </dxf>
    <dxf>
      <fill>
        <patternFill>
          <bgColor theme="0"/>
        </patternFill>
      </fill>
    </dxf>
    <dxf>
      <fill>
        <patternFill>
          <bgColor theme="1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Medium9"/>
  <colors>
    <mruColors>
      <color rgb="FF808080"/>
      <color rgb="FFFF00FF"/>
      <color rgb="FF0000FF"/>
      <color rgb="FF00FFFF"/>
      <color rgb="FF00FF00"/>
      <color rgb="FFFFFF00"/>
      <color rgb="FFFF0000"/>
      <color rgb="FF101010"/>
      <color rgb="FFC0A820"/>
      <color rgb="FFC0A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PICONOMIX\libraries\px-fwlib\boards\arm\stm32\px_zero_stm32c0\inc\px_board_gpio%20-%20Copy.xlsx" TargetMode="External"/><Relationship Id="rId1" Type="http://schemas.openxmlformats.org/officeDocument/2006/relationships/externalLinkPath" Target="/Work/PICONOMIX/libraries/px-fwlib/boards/arm/stm32/px_zero_stm32c0/inc/px_board_gpio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IO"/>
      <sheetName val="Options"/>
    </sheetNames>
    <sheetDataSet>
      <sheetData sheetId="0"/>
      <sheetData sheetId="1">
        <row r="2">
          <cell r="A2" t="str">
            <v>PX_GPIO_MODE_IN</v>
          </cell>
          <cell r="B2">
            <v>1</v>
          </cell>
          <cell r="C2" t="str">
            <v>PX_GPIO_OTYPE_NA</v>
          </cell>
          <cell r="D2">
            <v>1</v>
          </cell>
          <cell r="E2" t="str">
            <v>PX_GPIO_OSPEED_NA</v>
          </cell>
          <cell r="F2">
            <v>1</v>
          </cell>
          <cell r="G2" t="str">
            <v>PX_GPIO_PULL_NO</v>
          </cell>
          <cell r="H2">
            <v>1</v>
          </cell>
          <cell r="I2" t="str">
            <v>PX_GPIO_OUT_INIT_NA</v>
          </cell>
          <cell r="J2">
            <v>1</v>
          </cell>
          <cell r="K2" t="str">
            <v>PX_GPIO_AF_NA</v>
          </cell>
          <cell r="L2">
            <v>1</v>
          </cell>
        </row>
        <row r="3">
          <cell r="A3" t="str">
            <v>PX_GPIO_MODE_OUT</v>
          </cell>
          <cell r="B3">
            <v>2</v>
          </cell>
          <cell r="C3" t="str">
            <v>PX_GPIO_OTYPE_PP</v>
          </cell>
          <cell r="D3">
            <v>2</v>
          </cell>
          <cell r="E3" t="str">
            <v>PX_GPIO_OSPEED_LO</v>
          </cell>
          <cell r="F3">
            <v>2</v>
          </cell>
          <cell r="G3" t="str">
            <v>PX_GPIO_PULL_UP</v>
          </cell>
          <cell r="H3">
            <v>2</v>
          </cell>
          <cell r="I3" t="str">
            <v>PX_GPIO_OUT_INIT_LO</v>
          </cell>
          <cell r="J3">
            <v>2</v>
          </cell>
          <cell r="K3" t="str">
            <v>PX_GPIO_AF_0</v>
          </cell>
          <cell r="L3">
            <v>2</v>
          </cell>
        </row>
        <row r="4">
          <cell r="A4" t="str">
            <v>PX_GPIO_MODE_AF</v>
          </cell>
          <cell r="B4">
            <v>3</v>
          </cell>
          <cell r="C4" t="str">
            <v>PX_GPIO_OTYPE_OD</v>
          </cell>
          <cell r="D4">
            <v>3</v>
          </cell>
          <cell r="E4" t="str">
            <v>PX_GPIO_OSPEED_MD</v>
          </cell>
          <cell r="F4">
            <v>3</v>
          </cell>
          <cell r="G4" t="str">
            <v>PX_GPIO_PULL_DN</v>
          </cell>
          <cell r="H4">
            <v>3</v>
          </cell>
          <cell r="I4" t="str">
            <v>PX_GPIO_OUT_INIT_HI</v>
          </cell>
          <cell r="J4">
            <v>3</v>
          </cell>
          <cell r="K4" t="str">
            <v>PX_GPIO_AF_1</v>
          </cell>
          <cell r="L4">
            <v>3</v>
          </cell>
        </row>
        <row r="5">
          <cell r="A5" t="str">
            <v>PX_GPIO_MODE_ANA</v>
          </cell>
          <cell r="B5">
            <v>4</v>
          </cell>
          <cell r="E5" t="str">
            <v>PX_GPIO_OSPEED_HI</v>
          </cell>
          <cell r="F5">
            <v>4</v>
          </cell>
          <cell r="K5" t="str">
            <v>PX_GPIO_AF_2</v>
          </cell>
          <cell r="L5">
            <v>4</v>
          </cell>
        </row>
        <row r="6">
          <cell r="E6" t="str">
            <v>PX_GPIO_OSPEED_VH</v>
          </cell>
          <cell r="F6">
            <v>5</v>
          </cell>
          <cell r="K6" t="str">
            <v>PX_GPIO_AF_3</v>
          </cell>
          <cell r="L6">
            <v>5</v>
          </cell>
        </row>
        <row r="7">
          <cell r="K7" t="str">
            <v>PX_GPIO_AF_4</v>
          </cell>
          <cell r="L7">
            <v>6</v>
          </cell>
        </row>
        <row r="8">
          <cell r="K8" t="str">
            <v>PX_GPIO_AF_5</v>
          </cell>
          <cell r="L8">
            <v>7</v>
          </cell>
        </row>
        <row r="9">
          <cell r="K9" t="str">
            <v>PX_GPIO_AF_6</v>
          </cell>
          <cell r="L9">
            <v>8</v>
          </cell>
        </row>
        <row r="10">
          <cell r="K10" t="str">
            <v>PX_GPIO_AF_7</v>
          </cell>
          <cell r="L10">
            <v>9</v>
          </cell>
        </row>
        <row r="11">
          <cell r="K11" t="str">
            <v>PX_GPIO_AF_8</v>
          </cell>
          <cell r="L11">
            <v>10</v>
          </cell>
        </row>
        <row r="12">
          <cell r="K12" t="str">
            <v>PX_GPIO_AF_9</v>
          </cell>
          <cell r="L12">
            <v>11</v>
          </cell>
        </row>
        <row r="13">
          <cell r="K13" t="str">
            <v>PX_GPIO_AF_10</v>
          </cell>
          <cell r="L13">
            <v>12</v>
          </cell>
        </row>
        <row r="14">
          <cell r="K14" t="str">
            <v>PX_GPIO_AF_11</v>
          </cell>
          <cell r="L14">
            <v>13</v>
          </cell>
        </row>
        <row r="15">
          <cell r="K15" t="str">
            <v>PX_GPIO_AF_12</v>
          </cell>
          <cell r="L15">
            <v>14</v>
          </cell>
        </row>
        <row r="16">
          <cell r="K16" t="str">
            <v>PX_GPIO_AF_13</v>
          </cell>
          <cell r="L16">
            <v>15</v>
          </cell>
        </row>
        <row r="17">
          <cell r="K17" t="str">
            <v>PX_GPIO_AF_14</v>
          </cell>
          <cell r="L17">
            <v>16</v>
          </cell>
        </row>
        <row r="18">
          <cell r="K18" t="str">
            <v>PX_GPIO_AF_15</v>
          </cell>
          <cell r="L18">
            <v>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A020"/>
  </sheetPr>
  <dimension ref="A1:U14"/>
  <sheetViews>
    <sheetView tabSelected="1" workbookViewId="0">
      <selection activeCell="A15" sqref="A15"/>
    </sheetView>
  </sheetViews>
  <sheetFormatPr defaultRowHeight="11.25" x14ac:dyDescent="0.2"/>
  <cols>
    <col min="1" max="1" width="19.85546875" style="3" bestFit="1" customWidth="1"/>
    <col min="2" max="2" width="4.28515625" style="3" bestFit="1" customWidth="1"/>
    <col min="3" max="3" width="3.42578125" style="3" bestFit="1" customWidth="1"/>
    <col min="4" max="4" width="18.7109375" style="3" customWidth="1"/>
    <col min="5" max="5" width="2.7109375" style="3" customWidth="1"/>
    <col min="6" max="6" width="18.7109375" style="3" customWidth="1"/>
    <col min="7" max="7" width="2.7109375" style="3" customWidth="1"/>
    <col min="8" max="8" width="18.7109375" style="3" customWidth="1"/>
    <col min="9" max="9" width="2.7109375" style="3" customWidth="1"/>
    <col min="10" max="10" width="18.7109375" style="3" customWidth="1"/>
    <col min="11" max="11" width="2.7109375" style="3" customWidth="1"/>
    <col min="12" max="12" width="18.7109375" style="3" customWidth="1"/>
    <col min="13" max="13" width="2.7109375" style="3" customWidth="1"/>
    <col min="14" max="14" width="18.7109375" style="3" customWidth="1"/>
    <col min="15" max="16" width="2.7109375" style="3" customWidth="1"/>
    <col min="17" max="17" width="129.42578125" style="3" bestFit="1" customWidth="1"/>
    <col min="18" max="18" width="2.7109375" style="3" customWidth="1"/>
    <col min="19" max="19" width="35.5703125" style="3" bestFit="1" customWidth="1"/>
    <col min="20" max="20" width="2.7109375" style="3" customWidth="1"/>
    <col min="21" max="21" width="61.28515625" style="3" bestFit="1" customWidth="1"/>
    <col min="22" max="16384" width="9.140625" style="3"/>
  </cols>
  <sheetData>
    <row r="1" spans="1:21" x14ac:dyDescent="0.2">
      <c r="A1" s="1" t="s">
        <v>9</v>
      </c>
      <c r="B1" s="1" t="s">
        <v>10</v>
      </c>
      <c r="C1" s="1" t="s">
        <v>11</v>
      </c>
      <c r="D1" s="1" t="s">
        <v>0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7</v>
      </c>
      <c r="M1" s="1"/>
      <c r="N1" s="1" t="s">
        <v>8</v>
      </c>
      <c r="O1" s="1"/>
      <c r="P1" s="2"/>
      <c r="Q1" s="1" t="s">
        <v>40</v>
      </c>
      <c r="S1" s="1" t="s">
        <v>42</v>
      </c>
      <c r="U1" s="1" t="s">
        <v>41</v>
      </c>
    </row>
    <row r="2" spans="1:21" x14ac:dyDescent="0.2">
      <c r="A2" s="4" t="s">
        <v>51</v>
      </c>
      <c r="B2" s="4" t="s">
        <v>12</v>
      </c>
      <c r="C2" s="4">
        <v>2</v>
      </c>
      <c r="D2" s="4" t="s">
        <v>13</v>
      </c>
      <c r="E2" s="7">
        <f>VLOOKUP(D2,Options!A$2:B$100,2,FALSE)</f>
        <v>3</v>
      </c>
      <c r="F2" s="5" t="s">
        <v>16</v>
      </c>
      <c r="G2" s="7">
        <f>VLOOKUP(F2,Options!C$2:D$100,2,FALSE)</f>
        <v>2</v>
      </c>
      <c r="H2" s="5" t="s">
        <v>19</v>
      </c>
      <c r="I2" s="7">
        <f>VLOOKUP(H2,Options!E$2:F$100,2,FALSE)</f>
        <v>2</v>
      </c>
      <c r="J2" s="5" t="s">
        <v>23</v>
      </c>
      <c r="K2" s="7">
        <f>VLOOKUP(J2,Options!G$2:H$100,2,FALSE)</f>
        <v>1</v>
      </c>
      <c r="L2" s="4" t="s">
        <v>27</v>
      </c>
      <c r="M2" s="7">
        <f>VLOOKUP(L2,Options!I$2:J$100,2,FALSE)</f>
        <v>3</v>
      </c>
      <c r="N2" s="4" t="s">
        <v>33</v>
      </c>
      <c r="O2" s="7">
        <f>VLOOKUP(N2,Options!K$2:L$100,2,FALSE)</f>
        <v>6</v>
      </c>
      <c r="P2" s="2"/>
      <c r="Q2" s="3" t="str">
        <f t="shared" ref="Q2:Q14" si="0">CONCATENATE("#define ",$A2," PX_GPIO(",$B2,", ",$C2,", ",$D2,", ",$F2,", ",$H2,", ",$J2,", ",$L2,", ",$N2,")")</f>
        <v>#define PX_GPIO_DBG_UART2_TX PX_GPIO(A, 2, PX_GPIO_MODE_AF, PX_GPIO_OTYPE_PP, PX_GPIO_OSPEED_LO, PX_GPIO_PULL_NO, PX_GPIO_OUT_INIT_HI, PX_GPIO_AF_4)</v>
      </c>
      <c r="S2" s="3" t="str">
        <f t="shared" ref="S2:S14" si="1">CONCATENATE("#define PX_GPIO_",$B2,$C2," ",$A2)</f>
        <v>#define PX_GPIO_A2 PX_GPIO_DBG_UART2_TX</v>
      </c>
      <c r="U2" s="3" t="str">
        <f t="shared" ref="U2:U14" si="2">CONCATENATE("static const px_gpio_handle_t ",LOWER($A2)," = {",$A2,"};")</f>
        <v>static const px_gpio_handle_t px_gpio_dbg_uart2_tx = {PX_GPIO_DBG_UART2_TX};</v>
      </c>
    </row>
    <row r="3" spans="1:21" x14ac:dyDescent="0.2">
      <c r="A3" s="4" t="s">
        <v>52</v>
      </c>
      <c r="B3" s="4" t="s">
        <v>12</v>
      </c>
      <c r="C3" s="4">
        <v>3</v>
      </c>
      <c r="D3" s="4" t="s">
        <v>13</v>
      </c>
      <c r="E3" s="7">
        <f>VLOOKUP(D3,Options!A$2:B$100,2,FALSE)</f>
        <v>3</v>
      </c>
      <c r="F3" s="5" t="s">
        <v>15</v>
      </c>
      <c r="G3" s="7">
        <f>VLOOKUP(F3,Options!C$2:D$100,2,FALSE)</f>
        <v>1</v>
      </c>
      <c r="H3" s="5" t="s">
        <v>18</v>
      </c>
      <c r="I3" s="7">
        <f>VLOOKUP(H3,Options!E$2:F$100,2,FALSE)</f>
        <v>1</v>
      </c>
      <c r="J3" s="5" t="s">
        <v>6</v>
      </c>
      <c r="K3" s="7">
        <f>VLOOKUP(J3,Options!G$2:H$100,2,FALSE)</f>
        <v>2</v>
      </c>
      <c r="L3" s="4" t="s">
        <v>25</v>
      </c>
      <c r="M3" s="7">
        <f>VLOOKUP(L3,Options!I$2:J$100,2,FALSE)</f>
        <v>1</v>
      </c>
      <c r="N3" s="4" t="s">
        <v>33</v>
      </c>
      <c r="O3" s="7">
        <f>VLOOKUP(N3,Options!K$2:L$100,2,FALSE)</f>
        <v>6</v>
      </c>
      <c r="P3" s="2"/>
      <c r="Q3" s="3" t="str">
        <f t="shared" si="0"/>
        <v>#define PX_GPIO_DBG_UART2_RX PX_GPIO(A, 3, PX_GPIO_MODE_AF, PX_GPIO_OTYPE_NA, PX_GPIO_OSPEED_NA, PX_GPIO_PULL_UP, PX_GPIO_OUT_INIT_NA, PX_GPIO_AF_4)</v>
      </c>
      <c r="S3" s="3" t="str">
        <f t="shared" si="1"/>
        <v>#define PX_GPIO_A3 PX_GPIO_DBG_UART2_RX</v>
      </c>
      <c r="U3" s="3" t="str">
        <f t="shared" si="2"/>
        <v>static const px_gpio_handle_t px_gpio_dbg_uart2_rx = {PX_GPIO_DBG_UART2_RX};</v>
      </c>
    </row>
    <row r="4" spans="1:21" x14ac:dyDescent="0.2">
      <c r="A4" s="4" t="s">
        <v>43</v>
      </c>
      <c r="B4" s="4" t="s">
        <v>12</v>
      </c>
      <c r="C4" s="4">
        <v>5</v>
      </c>
      <c r="D4" s="4" t="s">
        <v>2</v>
      </c>
      <c r="E4" s="7">
        <f>VLOOKUP(D4,Options!A$2:B$100,2,FALSE)</f>
        <v>2</v>
      </c>
      <c r="F4" s="5" t="s">
        <v>16</v>
      </c>
      <c r="G4" s="7">
        <f>VLOOKUP(F4,Options!C$2:D$100,2,FALSE)</f>
        <v>2</v>
      </c>
      <c r="H4" s="5" t="s">
        <v>19</v>
      </c>
      <c r="I4" s="7">
        <f>VLOOKUP(H4,Options!E$2:F$100,2,FALSE)</f>
        <v>2</v>
      </c>
      <c r="J4" s="5" t="s">
        <v>23</v>
      </c>
      <c r="K4" s="7">
        <f>VLOOKUP(J4,Options!G$2:H$100,2,FALSE)</f>
        <v>1</v>
      </c>
      <c r="L4" s="4" t="s">
        <v>26</v>
      </c>
      <c r="M4" s="7">
        <f>VLOOKUP(L4,Options!I$2:J$100,2,FALSE)</f>
        <v>2</v>
      </c>
      <c r="N4" s="4" t="s">
        <v>28</v>
      </c>
      <c r="O4" s="7">
        <f>VLOOKUP(N4,Options!K$2:L$100,2,FALSE)</f>
        <v>1</v>
      </c>
      <c r="P4" s="2"/>
      <c r="Q4" s="3" t="str">
        <f t="shared" si="0"/>
        <v>#define PX_GPIO_LED_GRN PX_GPIO(A, 5, PX_GPIO_MODE_OUT, PX_GPIO_OTYPE_PP, PX_GPIO_OSPEED_LO, PX_GPIO_PULL_NO, PX_GPIO_OUT_INIT_LO, PX_GPIO_AF_NA)</v>
      </c>
      <c r="S4" s="3" t="str">
        <f t="shared" si="1"/>
        <v>#define PX_GPIO_A5 PX_GPIO_LED_GRN</v>
      </c>
      <c r="U4" s="3" t="str">
        <f t="shared" si="2"/>
        <v>static const px_gpio_handle_t px_gpio_led_grn = {PX_GPIO_LED_GRN};</v>
      </c>
    </row>
    <row r="5" spans="1:21" x14ac:dyDescent="0.2">
      <c r="A5" s="4" t="s">
        <v>47</v>
      </c>
      <c r="B5" s="4" t="s">
        <v>12</v>
      </c>
      <c r="C5" s="4">
        <v>11</v>
      </c>
      <c r="D5" s="4" t="s">
        <v>13</v>
      </c>
      <c r="E5" s="7">
        <f>VLOOKUP(D5,[1]Options!A$2:B$100,2,FALSE)</f>
        <v>3</v>
      </c>
      <c r="F5" s="5" t="s">
        <v>16</v>
      </c>
      <c r="G5" s="7">
        <f>VLOOKUP(F5,[1]Options!C$2:D$100,2,FALSE)</f>
        <v>2</v>
      </c>
      <c r="H5" s="5" t="s">
        <v>21</v>
      </c>
      <c r="I5" s="7">
        <f>VLOOKUP(H5,[1]Options!E$2:F$100,2,FALSE)</f>
        <v>5</v>
      </c>
      <c r="J5" s="5" t="s">
        <v>23</v>
      </c>
      <c r="K5" s="7">
        <f>VLOOKUP(J5,[1]Options!G$2:H$100,2,FALSE)</f>
        <v>1</v>
      </c>
      <c r="L5" s="4" t="s">
        <v>25</v>
      </c>
      <c r="M5" s="7">
        <f>VLOOKUP(L5,[1]Options!I$2:J$100,2,FALSE)</f>
        <v>1</v>
      </c>
      <c r="N5" s="4" t="s">
        <v>48</v>
      </c>
      <c r="O5" s="7">
        <f>VLOOKUP(N5,[1]Options!K$2:L$100,2,FALSE)</f>
        <v>12</v>
      </c>
      <c r="P5" s="2"/>
      <c r="Q5" s="3" t="str">
        <f t="shared" si="0"/>
        <v>#define PX_GPIO_USBD_N PX_GPIO(A, 11, PX_GPIO_MODE_AF, PX_GPIO_OTYPE_PP, PX_GPIO_OSPEED_VH, PX_GPIO_PULL_NO, PX_GPIO_OUT_INIT_NA, PX_GPIO_AF_10)</v>
      </c>
      <c r="S5" s="3" t="str">
        <f t="shared" si="1"/>
        <v>#define PX_GPIO_A11 PX_GPIO_USBD_N</v>
      </c>
      <c r="U5" s="3" t="str">
        <f t="shared" si="2"/>
        <v>static const px_gpio_handle_t px_gpio_usbd_n = {PX_GPIO_USBD_N};</v>
      </c>
    </row>
    <row r="6" spans="1:21" x14ac:dyDescent="0.2">
      <c r="A6" s="4" t="s">
        <v>49</v>
      </c>
      <c r="B6" s="4" t="s">
        <v>12</v>
      </c>
      <c r="C6" s="4">
        <v>12</v>
      </c>
      <c r="D6" s="4" t="s">
        <v>13</v>
      </c>
      <c r="E6" s="7">
        <f>VLOOKUP(D6,[1]Options!A$2:B$100,2,FALSE)</f>
        <v>3</v>
      </c>
      <c r="F6" s="5" t="s">
        <v>16</v>
      </c>
      <c r="G6" s="7">
        <f>VLOOKUP(F6,[1]Options!C$2:D$100,2,FALSE)</f>
        <v>2</v>
      </c>
      <c r="H6" s="5" t="s">
        <v>21</v>
      </c>
      <c r="I6" s="7">
        <f>VLOOKUP(H6,[1]Options!E$2:F$100,2,FALSE)</f>
        <v>5</v>
      </c>
      <c r="J6" s="5" t="s">
        <v>23</v>
      </c>
      <c r="K6" s="7">
        <f>VLOOKUP(J6,[1]Options!G$2:H$100,2,FALSE)</f>
        <v>1</v>
      </c>
      <c r="L6" s="4" t="s">
        <v>25</v>
      </c>
      <c r="M6" s="7">
        <f>VLOOKUP(L6,[1]Options!I$2:J$100,2,FALSE)</f>
        <v>1</v>
      </c>
      <c r="N6" s="4" t="s">
        <v>48</v>
      </c>
      <c r="O6" s="7">
        <f>VLOOKUP(N6,[1]Options!K$2:L$100,2,FALSE)</f>
        <v>12</v>
      </c>
      <c r="P6" s="2"/>
      <c r="Q6" s="3" t="str">
        <f t="shared" si="0"/>
        <v>#define PX_GPIO_USBD_P PX_GPIO(A, 12, PX_GPIO_MODE_AF, PX_GPIO_OTYPE_PP, PX_GPIO_OSPEED_VH, PX_GPIO_PULL_NO, PX_GPIO_OUT_INIT_NA, PX_GPIO_AF_10)</v>
      </c>
      <c r="S6" s="3" t="str">
        <f t="shared" si="1"/>
        <v>#define PX_GPIO_A12 PX_GPIO_USBD_P</v>
      </c>
      <c r="U6" s="3" t="str">
        <f t="shared" si="2"/>
        <v>static const px_gpio_handle_t px_gpio_usbd_p = {PX_GPIO_USBD_P};</v>
      </c>
    </row>
    <row r="7" spans="1:21" x14ac:dyDescent="0.2">
      <c r="A7" s="4" t="s">
        <v>37</v>
      </c>
      <c r="B7" s="4" t="s">
        <v>12</v>
      </c>
      <c r="C7" s="4">
        <v>13</v>
      </c>
      <c r="D7" s="4" t="s">
        <v>13</v>
      </c>
      <c r="E7" s="7">
        <f>VLOOKUP(D7,Options!A$2:B$100,2,FALSE)</f>
        <v>3</v>
      </c>
      <c r="F7" s="5" t="s">
        <v>15</v>
      </c>
      <c r="G7" s="7">
        <f>VLOOKUP(F7,Options!C$2:D$100,2,FALSE)</f>
        <v>1</v>
      </c>
      <c r="H7" s="5" t="s">
        <v>20</v>
      </c>
      <c r="I7" s="7">
        <f>VLOOKUP(H7,Options!E$2:F$100,2,FALSE)</f>
        <v>4</v>
      </c>
      <c r="J7" s="5" t="s">
        <v>6</v>
      </c>
      <c r="K7" s="7">
        <f>VLOOKUP(J7,Options!G$2:H$100,2,FALSE)</f>
        <v>2</v>
      </c>
      <c r="L7" s="4" t="s">
        <v>25</v>
      </c>
      <c r="M7" s="7">
        <f>VLOOKUP(L7,Options!I$2:J$100,2,FALSE)</f>
        <v>1</v>
      </c>
      <c r="N7" s="4" t="s">
        <v>29</v>
      </c>
      <c r="O7" s="7">
        <f>VLOOKUP(N7,Options!K$2:L$100,2,FALSE)</f>
        <v>2</v>
      </c>
      <c r="P7" s="2"/>
      <c r="Q7" s="3" t="str">
        <f t="shared" si="0"/>
        <v>#define PX_GPIO_SWDIO PX_GPIO(A, 13, PX_GPIO_MODE_AF, PX_GPIO_OTYPE_NA, PX_GPIO_OSPEED_HI, PX_GPIO_PULL_UP, PX_GPIO_OUT_INIT_NA, PX_GPIO_AF_0)</v>
      </c>
      <c r="S7" s="3" t="str">
        <f t="shared" si="1"/>
        <v>#define PX_GPIO_A13 PX_GPIO_SWDIO</v>
      </c>
      <c r="U7" s="3" t="str">
        <f t="shared" si="2"/>
        <v>static const px_gpio_handle_t px_gpio_swdio = {PX_GPIO_SWDIO};</v>
      </c>
    </row>
    <row r="8" spans="1:21" x14ac:dyDescent="0.2">
      <c r="A8" s="4" t="s">
        <v>38</v>
      </c>
      <c r="B8" s="4" t="s">
        <v>12</v>
      </c>
      <c r="C8" s="4">
        <v>14</v>
      </c>
      <c r="D8" s="4" t="s">
        <v>13</v>
      </c>
      <c r="E8" s="7">
        <f>VLOOKUP(D8,Options!A$2:B$100,2,FALSE)</f>
        <v>3</v>
      </c>
      <c r="F8" s="5" t="s">
        <v>15</v>
      </c>
      <c r="G8" s="7">
        <f>VLOOKUP(F8,Options!C$2:D$100,2,FALSE)</f>
        <v>1</v>
      </c>
      <c r="H8" s="5" t="s">
        <v>18</v>
      </c>
      <c r="I8" s="7">
        <f>VLOOKUP(H8,Options!E$2:F$100,2,FALSE)</f>
        <v>1</v>
      </c>
      <c r="J8" s="5" t="s">
        <v>24</v>
      </c>
      <c r="K8" s="7">
        <f>VLOOKUP(J8,Options!G$2:H$100,2,FALSE)</f>
        <v>3</v>
      </c>
      <c r="L8" s="4" t="s">
        <v>25</v>
      </c>
      <c r="M8" s="7">
        <f>VLOOKUP(L8,Options!I$2:J$100,2,FALSE)</f>
        <v>1</v>
      </c>
      <c r="N8" s="4" t="s">
        <v>29</v>
      </c>
      <c r="O8" s="7">
        <f>VLOOKUP(N8,Options!K$2:L$100,2,FALSE)</f>
        <v>2</v>
      </c>
      <c r="P8" s="2"/>
      <c r="Q8" s="3" t="str">
        <f t="shared" si="0"/>
        <v>#define PX_GPIO_SWDCK PX_GPIO(A, 14, PX_GPIO_MODE_AF, PX_GPIO_OTYPE_NA, PX_GPIO_OSPEED_NA, PX_GPIO_PULL_DN, PX_GPIO_OUT_INIT_NA, PX_GPIO_AF_0)</v>
      </c>
      <c r="S8" s="3" t="str">
        <f t="shared" si="1"/>
        <v>#define PX_GPIO_A14 PX_GPIO_SWDCK</v>
      </c>
      <c r="U8" s="3" t="str">
        <f t="shared" si="2"/>
        <v>static const px_gpio_handle_t px_gpio_swdck = {PX_GPIO_SWDCK};</v>
      </c>
    </row>
    <row r="9" spans="1:21" x14ac:dyDescent="0.2">
      <c r="A9" s="8"/>
      <c r="B9" s="8"/>
      <c r="C9" s="8"/>
      <c r="D9" s="8"/>
      <c r="E9" s="9"/>
      <c r="F9" s="10"/>
      <c r="G9" s="9"/>
      <c r="H9" s="10"/>
      <c r="I9" s="9"/>
      <c r="J9" s="10"/>
      <c r="K9" s="9"/>
      <c r="L9" s="8"/>
      <c r="M9" s="9"/>
      <c r="N9" s="8"/>
      <c r="O9" s="9"/>
      <c r="P9" s="2"/>
    </row>
    <row r="10" spans="1:21" x14ac:dyDescent="0.2">
      <c r="A10" s="4" t="s">
        <v>50</v>
      </c>
      <c r="B10" s="4" t="s">
        <v>39</v>
      </c>
      <c r="C10" s="4">
        <v>0</v>
      </c>
      <c r="D10" s="4" t="s">
        <v>1</v>
      </c>
      <c r="E10" s="7">
        <f>VLOOKUP(D10,Options!A$2:B$100,2,FALSE)</f>
        <v>1</v>
      </c>
      <c r="F10" s="5" t="s">
        <v>15</v>
      </c>
      <c r="G10" s="7">
        <f>VLOOKUP(F10,Options!C$2:D$100,2,FALSE)</f>
        <v>1</v>
      </c>
      <c r="H10" s="5" t="s">
        <v>18</v>
      </c>
      <c r="I10" s="7">
        <f>VLOOKUP(H10,Options!E$2:F$100,2,FALSE)</f>
        <v>1</v>
      </c>
      <c r="J10" s="5" t="s">
        <v>23</v>
      </c>
      <c r="K10" s="7">
        <f>VLOOKUP(J10,Options!G$2:H$100,2,FALSE)</f>
        <v>1</v>
      </c>
      <c r="L10" s="4" t="s">
        <v>25</v>
      </c>
      <c r="M10" s="7">
        <f>VLOOKUP(L10,Options!I$2:J$100,2,FALSE)</f>
        <v>1</v>
      </c>
      <c r="N10" s="4" t="s">
        <v>28</v>
      </c>
      <c r="O10" s="7">
        <f>VLOOKUP(N10,Options!K$2:L$100,2,FALSE)</f>
        <v>1</v>
      </c>
      <c r="P10" s="2"/>
      <c r="Q10" s="3" t="str">
        <f t="shared" si="0"/>
        <v>#define PX_GPIO_USB_SENSE PX_GPIO(C, 0, PX_GPIO_MODE_IN, PX_GPIO_OTYPE_NA, PX_GPIO_OSPEED_NA, PX_GPIO_PULL_NO, PX_GPIO_OUT_INIT_NA, PX_GPIO_AF_NA)</v>
      </c>
      <c r="S10" s="3" t="str">
        <f t="shared" si="1"/>
        <v>#define PX_GPIO_C0 PX_GPIO_USB_SENSE</v>
      </c>
      <c r="U10" s="3" t="str">
        <f t="shared" si="2"/>
        <v>static const px_gpio_handle_t px_gpio_usb_sense = {PX_GPIO_USB_SENSE};</v>
      </c>
    </row>
    <row r="11" spans="1:21" x14ac:dyDescent="0.2">
      <c r="A11" s="4" t="s">
        <v>53</v>
      </c>
      <c r="B11" s="4" t="s">
        <v>39</v>
      </c>
      <c r="C11" s="4">
        <v>9</v>
      </c>
      <c r="D11" s="4" t="s">
        <v>2</v>
      </c>
      <c r="E11" s="7">
        <f>VLOOKUP(D11,Options!A$2:B$100,2,FALSE)</f>
        <v>2</v>
      </c>
      <c r="F11" s="5" t="s">
        <v>17</v>
      </c>
      <c r="G11" s="7">
        <f>VLOOKUP(F11,Options!C$2:D$100,2,FALSE)</f>
        <v>3</v>
      </c>
      <c r="H11" s="5" t="s">
        <v>19</v>
      </c>
      <c r="I11" s="7">
        <f>VLOOKUP(H11,Options!E$2:F$100,2,FALSE)</f>
        <v>2</v>
      </c>
      <c r="J11" s="5" t="s">
        <v>23</v>
      </c>
      <c r="K11" s="7">
        <f>VLOOKUP(J11,Options!G$2:H$100,2,FALSE)</f>
        <v>1</v>
      </c>
      <c r="L11" s="4" t="s">
        <v>27</v>
      </c>
      <c r="M11" s="7">
        <f>VLOOKUP(L11,Options!I$2:J$100,2,FALSE)</f>
        <v>3</v>
      </c>
      <c r="N11" s="4" t="s">
        <v>28</v>
      </c>
      <c r="O11" s="7">
        <f>VLOOKUP(N11,Options!K$2:L$100,2,FALSE)</f>
        <v>1</v>
      </c>
      <c r="P11" s="2"/>
      <c r="Q11" s="3" t="str">
        <f t="shared" si="0"/>
        <v>#define PX_GPIO_LED_BLUE PX_GPIO(C, 9, PX_GPIO_MODE_OUT, PX_GPIO_OTYPE_OD, PX_GPIO_OSPEED_LO, PX_GPIO_PULL_NO, PX_GPIO_OUT_INIT_HI, PX_GPIO_AF_NA)</v>
      </c>
      <c r="S11" s="3" t="str">
        <f t="shared" si="1"/>
        <v>#define PX_GPIO_C9 PX_GPIO_LED_BLUE</v>
      </c>
      <c r="U11" s="3" t="str">
        <f t="shared" si="2"/>
        <v>static const px_gpio_handle_t px_gpio_led_blue = {PX_GPIO_LED_BLUE};</v>
      </c>
    </row>
    <row r="12" spans="1:21" x14ac:dyDescent="0.2">
      <c r="A12" s="4" t="s">
        <v>44</v>
      </c>
      <c r="B12" s="4" t="s">
        <v>39</v>
      </c>
      <c r="C12" s="4">
        <v>13</v>
      </c>
      <c r="D12" s="4" t="s">
        <v>1</v>
      </c>
      <c r="E12" s="7">
        <f>VLOOKUP(D12,Options!A$2:B$100,2,FALSE)</f>
        <v>1</v>
      </c>
      <c r="F12" s="5" t="s">
        <v>15</v>
      </c>
      <c r="G12" s="7">
        <f>VLOOKUP(F12,Options!C$2:D$100,2,FALSE)</f>
        <v>1</v>
      </c>
      <c r="H12" s="5" t="s">
        <v>18</v>
      </c>
      <c r="I12" s="7">
        <f>VLOOKUP(H12,Options!E$2:F$100,2,FALSE)</f>
        <v>1</v>
      </c>
      <c r="J12" s="5" t="s">
        <v>6</v>
      </c>
      <c r="K12" s="7">
        <f>VLOOKUP(J12,Options!G$2:H$100,2,FALSE)</f>
        <v>2</v>
      </c>
      <c r="L12" s="4" t="s">
        <v>25</v>
      </c>
      <c r="M12" s="7">
        <f>VLOOKUP(L12,Options!I$2:J$100,2,FALSE)</f>
        <v>1</v>
      </c>
      <c r="N12" s="4" t="s">
        <v>28</v>
      </c>
      <c r="O12" s="7">
        <f>VLOOKUP(N12,Options!K$2:L$100,2,FALSE)</f>
        <v>1</v>
      </c>
      <c r="P12" s="2"/>
      <c r="Q12" s="3" t="str">
        <f t="shared" si="0"/>
        <v>#define PX_GPIO_BTN_BLUE PX_GPIO(C, 13, PX_GPIO_MODE_IN, PX_GPIO_OTYPE_NA, PX_GPIO_OSPEED_NA, PX_GPIO_PULL_UP, PX_GPIO_OUT_INIT_NA, PX_GPIO_AF_NA)</v>
      </c>
      <c r="S12" s="3" t="str">
        <f t="shared" si="1"/>
        <v>#define PX_GPIO_C13 PX_GPIO_BTN_BLUE</v>
      </c>
      <c r="U12" s="3" t="str">
        <f t="shared" si="2"/>
        <v>static const px_gpio_handle_t px_gpio_btn_blue = {PX_GPIO_BTN_BLUE};</v>
      </c>
    </row>
    <row r="13" spans="1:21" x14ac:dyDescent="0.2">
      <c r="A13" s="4" t="s">
        <v>45</v>
      </c>
      <c r="B13" s="4" t="s">
        <v>39</v>
      </c>
      <c r="C13" s="4">
        <v>14</v>
      </c>
      <c r="D13" s="4" t="s">
        <v>14</v>
      </c>
      <c r="E13" s="7">
        <f>VLOOKUP(D13,[1]Options!A$2:B$100,2,FALSE)</f>
        <v>4</v>
      </c>
      <c r="F13" s="5" t="s">
        <v>15</v>
      </c>
      <c r="G13" s="7">
        <f>VLOOKUP(F13,[1]Options!C$2:D$100,2,FALSE)</f>
        <v>1</v>
      </c>
      <c r="H13" s="5" t="s">
        <v>18</v>
      </c>
      <c r="I13" s="7">
        <f>VLOOKUP(H13,[1]Options!E$2:F$100,2,FALSE)</f>
        <v>1</v>
      </c>
      <c r="J13" s="5" t="s">
        <v>23</v>
      </c>
      <c r="K13" s="7">
        <f>VLOOKUP(J13,[1]Options!G$2:H$100,2,FALSE)</f>
        <v>1</v>
      </c>
      <c r="L13" s="4" t="s">
        <v>25</v>
      </c>
      <c r="M13" s="7">
        <f>VLOOKUP(L13,[1]Options!I$2:J$100,2,FALSE)</f>
        <v>1</v>
      </c>
      <c r="N13" s="4" t="s">
        <v>28</v>
      </c>
      <c r="O13" s="7">
        <f>VLOOKUP(N13,[1]Options!K$2:L$100,2,FALSE)</f>
        <v>1</v>
      </c>
      <c r="P13" s="2"/>
      <c r="Q13" s="3" t="str">
        <f t="shared" si="0"/>
        <v>#define PX_GPIO_OSC32_IN PX_GPIO(C, 14, PX_GPIO_MODE_ANA, PX_GPIO_OTYPE_NA, PX_GPIO_OSPEED_NA, PX_GPIO_PULL_NO, PX_GPIO_OUT_INIT_NA, PX_GPIO_AF_NA)</v>
      </c>
      <c r="S13" s="3" t="str">
        <f t="shared" si="1"/>
        <v>#define PX_GPIO_C14 PX_GPIO_OSC32_IN</v>
      </c>
      <c r="U13" s="3" t="str">
        <f t="shared" si="2"/>
        <v>static const px_gpio_handle_t px_gpio_osc32_in = {PX_GPIO_OSC32_IN};</v>
      </c>
    </row>
    <row r="14" spans="1:21" x14ac:dyDescent="0.2">
      <c r="A14" s="4" t="s">
        <v>46</v>
      </c>
      <c r="B14" s="4" t="s">
        <v>39</v>
      </c>
      <c r="C14" s="4">
        <v>15</v>
      </c>
      <c r="D14" s="4" t="s">
        <v>14</v>
      </c>
      <c r="E14" s="7">
        <f>VLOOKUP(D14,[1]Options!A$2:B$100,2,FALSE)</f>
        <v>4</v>
      </c>
      <c r="F14" s="5" t="s">
        <v>15</v>
      </c>
      <c r="G14" s="7">
        <f>VLOOKUP(F14,[1]Options!C$2:D$100,2,FALSE)</f>
        <v>1</v>
      </c>
      <c r="H14" s="5" t="s">
        <v>18</v>
      </c>
      <c r="I14" s="7">
        <f>VLOOKUP(H14,[1]Options!E$2:F$100,2,FALSE)</f>
        <v>1</v>
      </c>
      <c r="J14" s="5" t="s">
        <v>23</v>
      </c>
      <c r="K14" s="7">
        <f>VLOOKUP(J14,[1]Options!G$2:H$100,2,FALSE)</f>
        <v>1</v>
      </c>
      <c r="L14" s="4" t="s">
        <v>25</v>
      </c>
      <c r="M14" s="7">
        <f>VLOOKUP(L14,[1]Options!I$2:J$100,2,FALSE)</f>
        <v>1</v>
      </c>
      <c r="N14" s="4" t="s">
        <v>28</v>
      </c>
      <c r="O14" s="7">
        <f>VLOOKUP(N14,[1]Options!K$2:L$100,2,FALSE)</f>
        <v>1</v>
      </c>
      <c r="P14" s="2"/>
      <c r="Q14" s="3" t="str">
        <f t="shared" si="0"/>
        <v>#define PX_GPIO_OSC32_OUT PX_GPIO(C, 15, PX_GPIO_MODE_ANA, PX_GPIO_OTYPE_NA, PX_GPIO_OSPEED_NA, PX_GPIO_PULL_NO, PX_GPIO_OUT_INIT_NA, PX_GPIO_AF_NA)</v>
      </c>
      <c r="S14" s="3" t="str">
        <f t="shared" si="1"/>
        <v>#define PX_GPIO_C15 PX_GPIO_OSC32_OUT</v>
      </c>
      <c r="U14" s="3" t="str">
        <f t="shared" si="2"/>
        <v>static const px_gpio_handle_t px_gpio_osc32_out = {PX_GPIO_OSC32_OUT};</v>
      </c>
    </row>
  </sheetData>
  <conditionalFormatting sqref="E2:E14 G2:G14 I2:I14 K2:K14 M2:M14 O2:O14">
    <cfRule type="cellIs" dxfId="8" priority="10" operator="equal">
      <formula>9</formula>
    </cfRule>
    <cfRule type="cellIs" dxfId="7" priority="11" operator="equal">
      <formula>8</formula>
    </cfRule>
    <cfRule type="cellIs" dxfId="6" priority="12" operator="equal">
      <formula>7</formula>
    </cfRule>
    <cfRule type="cellIs" dxfId="5" priority="13" operator="equal">
      <formula>6</formula>
    </cfRule>
    <cfRule type="cellIs" dxfId="4" priority="14" operator="equal">
      <formula>5</formula>
    </cfRule>
    <cfRule type="cellIs" dxfId="3" priority="15" operator="equal">
      <formula>4</formula>
    </cfRule>
    <cfRule type="cellIs" dxfId="2" priority="16" operator="equal">
      <formula>3</formula>
    </cfRule>
    <cfRule type="cellIs" dxfId="1" priority="17" operator="equal">
      <formula>2</formula>
    </cfRule>
    <cfRule type="cellIs" dxfId="0" priority="18" operator="equal">
      <formula>1</formula>
    </cfRule>
  </conditionalFormatting>
  <dataValidations count="6">
    <dataValidation type="list" allowBlank="1" showInputMessage="1" showErrorMessage="1" sqref="D2:D14" xr:uid="{00000000-0002-0000-0000-000000000000}">
      <formula1>Mode</formula1>
    </dataValidation>
    <dataValidation type="list" allowBlank="1" showInputMessage="1" showErrorMessage="1" sqref="F2:F14" xr:uid="{00000000-0002-0000-0000-000001000000}">
      <formula1>OutputType</formula1>
    </dataValidation>
    <dataValidation type="list" allowBlank="1" showInputMessage="1" showErrorMessage="1" sqref="H2:H14" xr:uid="{00000000-0002-0000-0000-000002000000}">
      <formula1>OutputSpeed</formula1>
    </dataValidation>
    <dataValidation type="list" allowBlank="1" showInputMessage="1" showErrorMessage="1" sqref="J2:J14" xr:uid="{00000000-0002-0000-0000-000003000000}">
      <formula1>Pull</formula1>
    </dataValidation>
    <dataValidation type="list" allowBlank="1" showInputMessage="1" showErrorMessage="1" sqref="L2:L14" xr:uid="{00000000-0002-0000-0000-000004000000}">
      <formula1>OutputInit</formula1>
    </dataValidation>
    <dataValidation type="list" allowBlank="1" showInputMessage="1" showErrorMessage="1" sqref="N2:N14" xr:uid="{00000000-0002-0000-0000-000005000000}">
      <formula1>AltFn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activeCell="A7" sqref="A7"/>
    </sheetView>
  </sheetViews>
  <sheetFormatPr defaultRowHeight="11.25" x14ac:dyDescent="0.2"/>
  <cols>
    <col min="1" max="1" width="28.7109375" style="3" customWidth="1"/>
    <col min="2" max="2" width="2.7109375" style="3" customWidth="1"/>
    <col min="3" max="3" width="28.7109375" style="3" customWidth="1"/>
    <col min="4" max="4" width="2.7109375" style="3" customWidth="1"/>
    <col min="5" max="5" width="28.7109375" style="3" customWidth="1"/>
    <col min="6" max="6" width="2.7109375" style="3" customWidth="1"/>
    <col min="7" max="7" width="28.7109375" style="3" customWidth="1"/>
    <col min="8" max="8" width="2.7109375" style="3" customWidth="1"/>
    <col min="9" max="9" width="28.7109375" style="3" customWidth="1"/>
    <col min="10" max="10" width="2.7109375" style="3" customWidth="1"/>
    <col min="11" max="11" width="28.7109375" style="3" customWidth="1"/>
    <col min="12" max="12" width="2.7109375" style="3" customWidth="1"/>
    <col min="13" max="16384" width="9.140625" style="3"/>
  </cols>
  <sheetData>
    <row r="1" spans="1:13" x14ac:dyDescent="0.2">
      <c r="A1" s="1" t="s">
        <v>0</v>
      </c>
      <c r="B1" s="1"/>
      <c r="C1" s="1" t="s">
        <v>3</v>
      </c>
      <c r="D1" s="1"/>
      <c r="E1" s="1" t="s">
        <v>4</v>
      </c>
      <c r="F1" s="1"/>
      <c r="G1" s="1" t="s">
        <v>5</v>
      </c>
      <c r="H1" s="1"/>
      <c r="I1" s="1" t="s">
        <v>7</v>
      </c>
      <c r="J1" s="1"/>
      <c r="K1" s="1" t="s">
        <v>8</v>
      </c>
      <c r="L1" s="1"/>
      <c r="M1" s="2"/>
    </row>
    <row r="2" spans="1:13" x14ac:dyDescent="0.2">
      <c r="A2" s="4" t="s">
        <v>1</v>
      </c>
      <c r="B2" s="4">
        <v>1</v>
      </c>
      <c r="C2" s="5" t="s">
        <v>15</v>
      </c>
      <c r="D2" s="4">
        <v>1</v>
      </c>
      <c r="E2" s="5" t="s">
        <v>18</v>
      </c>
      <c r="F2" s="4">
        <v>1</v>
      </c>
      <c r="G2" s="5" t="s">
        <v>23</v>
      </c>
      <c r="H2" s="4">
        <v>1</v>
      </c>
      <c r="I2" s="4" t="s">
        <v>25</v>
      </c>
      <c r="J2" s="4">
        <v>1</v>
      </c>
      <c r="K2" s="6" t="s">
        <v>28</v>
      </c>
      <c r="L2" s="4">
        <v>1</v>
      </c>
      <c r="M2" s="2"/>
    </row>
    <row r="3" spans="1:13" x14ac:dyDescent="0.2">
      <c r="A3" s="4" t="s">
        <v>2</v>
      </c>
      <c r="B3" s="4">
        <v>2</v>
      </c>
      <c r="C3" s="5" t="s">
        <v>16</v>
      </c>
      <c r="D3" s="4">
        <v>2</v>
      </c>
      <c r="E3" s="5" t="s">
        <v>19</v>
      </c>
      <c r="F3" s="4">
        <v>2</v>
      </c>
      <c r="G3" s="5" t="s">
        <v>6</v>
      </c>
      <c r="H3" s="4">
        <v>2</v>
      </c>
      <c r="I3" s="4" t="s">
        <v>26</v>
      </c>
      <c r="J3" s="4">
        <v>2</v>
      </c>
      <c r="K3" s="6" t="s">
        <v>29</v>
      </c>
      <c r="L3" s="4">
        <v>2</v>
      </c>
      <c r="M3" s="2"/>
    </row>
    <row r="4" spans="1:13" x14ac:dyDescent="0.2">
      <c r="A4" s="4" t="s">
        <v>13</v>
      </c>
      <c r="B4" s="4">
        <v>3</v>
      </c>
      <c r="C4" s="5" t="s">
        <v>17</v>
      </c>
      <c r="D4" s="4">
        <v>3</v>
      </c>
      <c r="E4" s="5" t="s">
        <v>22</v>
      </c>
      <c r="F4" s="4">
        <v>3</v>
      </c>
      <c r="G4" s="5" t="s">
        <v>24</v>
      </c>
      <c r="H4" s="4">
        <v>3</v>
      </c>
      <c r="I4" s="4" t="s">
        <v>27</v>
      </c>
      <c r="J4" s="4">
        <v>3</v>
      </c>
      <c r="K4" s="6" t="s">
        <v>30</v>
      </c>
      <c r="L4" s="4">
        <v>3</v>
      </c>
      <c r="M4" s="2"/>
    </row>
    <row r="5" spans="1:13" x14ac:dyDescent="0.2">
      <c r="A5" s="4" t="s">
        <v>14</v>
      </c>
      <c r="B5" s="4">
        <v>4</v>
      </c>
      <c r="E5" s="5" t="s">
        <v>20</v>
      </c>
      <c r="F5" s="4">
        <v>4</v>
      </c>
      <c r="K5" s="6" t="s">
        <v>31</v>
      </c>
      <c r="L5" s="4">
        <v>4</v>
      </c>
      <c r="M5" s="2"/>
    </row>
    <row r="6" spans="1:13" x14ac:dyDescent="0.2">
      <c r="E6" s="5" t="s">
        <v>21</v>
      </c>
      <c r="F6" s="4">
        <v>5</v>
      </c>
      <c r="K6" s="6" t="s">
        <v>32</v>
      </c>
      <c r="L6" s="4">
        <v>5</v>
      </c>
      <c r="M6" s="2"/>
    </row>
    <row r="7" spans="1:13" x14ac:dyDescent="0.2">
      <c r="K7" s="6" t="s">
        <v>33</v>
      </c>
      <c r="L7" s="4">
        <v>6</v>
      </c>
      <c r="M7" s="2"/>
    </row>
    <row r="8" spans="1:13" x14ac:dyDescent="0.2">
      <c r="K8" s="6" t="s">
        <v>34</v>
      </c>
      <c r="L8" s="4">
        <v>7</v>
      </c>
      <c r="M8" s="2"/>
    </row>
    <row r="9" spans="1:13" x14ac:dyDescent="0.2">
      <c r="K9" s="6" t="s">
        <v>35</v>
      </c>
      <c r="L9" s="4">
        <v>8</v>
      </c>
      <c r="M9" s="2"/>
    </row>
    <row r="10" spans="1:13" x14ac:dyDescent="0.2">
      <c r="K10" s="6" t="s">
        <v>36</v>
      </c>
      <c r="L10" s="4">
        <v>9</v>
      </c>
      <c r="M10" s="2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0" id="{3E3251E1-1581-4798-941E-A15E4B61CC9C}">
            <xm:f>GPIO!#REF!=$K$2</xm:f>
            <x14:dxf/>
          </x14:cfRule>
          <xm:sqref>O2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GPIO</vt:lpstr>
      <vt:lpstr>Options</vt:lpstr>
      <vt:lpstr>AltFn</vt:lpstr>
      <vt:lpstr>Mode</vt:lpstr>
      <vt:lpstr>OutputInit</vt:lpstr>
      <vt:lpstr>OutputSpeed</vt:lpstr>
      <vt:lpstr>OutputType</vt:lpstr>
      <vt:lpstr>Pull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2026-02-14T10:36:06Z</dcterms:modified>
</cp:coreProperties>
</file>